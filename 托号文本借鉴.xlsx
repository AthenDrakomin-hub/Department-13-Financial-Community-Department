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25" windowHeight="10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<sst xmlns="http://schemas.openxmlformats.org/spreadsheetml/2006/main" count="307" uniqueCount="234">
  <si>
    <t>三方/买票/通用</t>
  </si>
  <si>
    <t>昵称</t>
  </si>
  <si>
    <t>持仓/建仓</t>
  </si>
  <si>
    <t>买票类型</t>
  </si>
  <si>
    <t>性别</t>
  </si>
  <si>
    <t>出生年份/生肖/周岁</t>
  </si>
  <si>
    <t>操作时长</t>
  </si>
  <si>
    <t>真实名字</t>
  </si>
  <si>
    <t>地区</t>
  </si>
  <si>
    <t>职业</t>
  </si>
  <si>
    <t>银行卡</t>
  </si>
  <si>
    <t>大致经历</t>
  </si>
  <si>
    <t>小群</t>
  </si>
  <si>
    <t>大神号1</t>
  </si>
  <si>
    <t>资深投行狗</t>
  </si>
  <si>
    <t>大宗</t>
  </si>
  <si>
    <t>男 a</t>
  </si>
  <si>
    <t>1968年属猴56岁</t>
  </si>
  <si>
    <t>3个月</t>
  </si>
  <si>
    <t>苏铭</t>
  </si>
  <si>
    <t>苏州</t>
  </si>
  <si>
    <t>公司老总</t>
  </si>
  <si>
    <t>工行 622202482162286056</t>
  </si>
  <si>
    <t>讲的话很精辟，股市经验深</t>
  </si>
  <si>
    <t>大神号2</t>
  </si>
  <si>
    <t>发哥哥</t>
  </si>
  <si>
    <t>1975年属兔49岁</t>
  </si>
  <si>
    <t>2个月</t>
  </si>
  <si>
    <t>陈家发</t>
  </si>
  <si>
    <t>湖北</t>
  </si>
  <si>
    <t>无业</t>
  </si>
  <si>
    <t>中国 621600238519531639</t>
  </si>
  <si>
    <t>讲话抓住重点，白话更真实</t>
  </si>
  <si>
    <t>大神号3</t>
  </si>
  <si>
    <t>不要对我冷冰冰</t>
  </si>
  <si>
    <t>女 b</t>
  </si>
  <si>
    <t>1986年属虎38岁</t>
  </si>
  <si>
    <t>周慧茹</t>
  </si>
  <si>
    <t>北京</t>
  </si>
  <si>
    <t>专门炒股</t>
  </si>
  <si>
    <t>建设 617002238519535682</t>
  </si>
  <si>
    <t>逼格高，看不起人的话多</t>
  </si>
  <si>
    <t>中拖号1</t>
  </si>
  <si>
    <t>童小帮主</t>
  </si>
  <si>
    <t>涨停板</t>
  </si>
  <si>
    <t>女 a</t>
  </si>
  <si>
    <t>1989年属蛇35岁</t>
  </si>
  <si>
    <t>1个月</t>
  </si>
  <si>
    <t>朱晓红</t>
  </si>
  <si>
    <t>广东</t>
  </si>
  <si>
    <t>童装店</t>
  </si>
  <si>
    <t>民生 617002238519536925</t>
  </si>
  <si>
    <t>😂</t>
  </si>
  <si>
    <t>中拖号2</t>
  </si>
  <si>
    <t>勤学小石头</t>
  </si>
  <si>
    <t>1971年属猪53岁</t>
  </si>
  <si>
    <t>半个月</t>
  </si>
  <si>
    <t>顾浩民</t>
  </si>
  <si>
    <t>广西</t>
  </si>
  <si>
    <t>工人</t>
  </si>
  <si>
    <t>招商 617002238519536925</t>
  </si>
  <si>
    <t>中拖号3</t>
  </si>
  <si>
    <t>时代的尘埃</t>
  </si>
  <si>
    <t>男 c</t>
  </si>
  <si>
    <t>1966年属马58岁</t>
  </si>
  <si>
    <t>田军</t>
  </si>
  <si>
    <t>广州</t>
  </si>
  <si>
    <t>茶庄</t>
  </si>
  <si>
    <t>平安 617002238519536925</t>
  </si>
  <si>
    <t>中拖号4</t>
  </si>
  <si>
    <t>大器晚成也是成</t>
  </si>
  <si>
    <t>1956年属猴68岁</t>
  </si>
  <si>
    <t>刚开户</t>
  </si>
  <si>
    <t>刘冲</t>
  </si>
  <si>
    <t>山东</t>
  </si>
  <si>
    <t>退休</t>
  </si>
  <si>
    <t>小白号1</t>
  </si>
  <si>
    <t>小吴通讯</t>
  </si>
  <si>
    <t>男 b</t>
  </si>
  <si>
    <t>1981年属鸡43岁</t>
  </si>
  <si>
    <t>未开户</t>
  </si>
  <si>
    <t>吴明明</t>
  </si>
  <si>
    <t>江西</t>
  </si>
  <si>
    <t>技术</t>
  </si>
  <si>
    <t>光大 617002238519536925</t>
  </si>
  <si>
    <t>前期喜欢问题</t>
  </si>
  <si>
    <t>小白号2</t>
  </si>
  <si>
    <t>周医师</t>
  </si>
  <si>
    <t>1979年属羊45岁</t>
  </si>
  <si>
    <t>周学斌</t>
  </si>
  <si>
    <t>厦门</t>
  </si>
  <si>
    <t>洋酒批发</t>
  </si>
  <si>
    <t>中信 617002238519536925</t>
  </si>
  <si>
    <t>小白号3</t>
  </si>
  <si>
    <t>李</t>
  </si>
  <si>
    <t>潜拖号</t>
  </si>
  <si>
    <t>1978年属马46岁</t>
  </si>
  <si>
    <t>李丽丽</t>
  </si>
  <si>
    <t>江苏</t>
  </si>
  <si>
    <t>农业 622842238519586457</t>
  </si>
  <si>
    <t>小白号4</t>
  </si>
  <si>
    <t>明珠</t>
  </si>
  <si>
    <t>1988年属龙37岁</t>
  </si>
  <si>
    <t>通过</t>
  </si>
  <si>
    <t>曾明珠</t>
  </si>
  <si>
    <t>重庆</t>
  </si>
  <si>
    <t>待业</t>
  </si>
  <si>
    <t>建设 621402238519533488</t>
  </si>
  <si>
    <t>以前跟同事炒股亏不少钱</t>
  </si>
  <si>
    <t>重庆市沙坪坝区曾家美丽新城16一18</t>
  </si>
  <si>
    <t>小白号5</t>
  </si>
  <si>
    <t>搬砖养票</t>
  </si>
  <si>
    <t>1973年属牛51岁</t>
  </si>
  <si>
    <t>张继福</t>
  </si>
  <si>
    <t>上海</t>
  </si>
  <si>
    <t>在职</t>
  </si>
  <si>
    <t>建设 617002238519538524</t>
  </si>
  <si>
    <t>大群</t>
  </si>
  <si>
    <t>开户时间</t>
  </si>
  <si>
    <t>买票号1</t>
  </si>
  <si>
    <t>东方月明</t>
  </si>
  <si>
    <t>女</t>
  </si>
  <si>
    <t>1974年属虎50岁</t>
  </si>
  <si>
    <t>冯月芳</t>
  </si>
  <si>
    <t>青岛</t>
  </si>
  <si>
    <t>买票号2</t>
  </si>
  <si>
    <t>艺术家</t>
  </si>
  <si>
    <t>1976年属龙48岁</t>
  </si>
  <si>
    <t>莫蓝</t>
  </si>
  <si>
    <t>买票号3</t>
  </si>
  <si>
    <t>小鱼儿</t>
  </si>
  <si>
    <t>男</t>
  </si>
  <si>
    <t>1970年属狗54岁</t>
  </si>
  <si>
    <t>李鹏</t>
  </si>
  <si>
    <t>四川</t>
  </si>
  <si>
    <t>买票号4</t>
  </si>
  <si>
    <t>明天会更好，</t>
  </si>
  <si>
    <t>1951年属兔73岁</t>
  </si>
  <si>
    <t>胡林俊</t>
  </si>
  <si>
    <t>买票号5</t>
  </si>
  <si>
    <t>山东郭美英</t>
  </si>
  <si>
    <t>1987年属兔37岁</t>
  </si>
  <si>
    <t>方宝义</t>
  </si>
  <si>
    <t>山西</t>
  </si>
  <si>
    <t>胜券在握民哥</t>
  </si>
  <si>
    <t>跑路1</t>
  </si>
  <si>
    <t>戴连天</t>
  </si>
  <si>
    <t>陕西</t>
  </si>
  <si>
    <t>吴有光</t>
  </si>
  <si>
    <t>甘肃</t>
  </si>
  <si>
    <t>值了</t>
  </si>
  <si>
    <t>李林</t>
  </si>
  <si>
    <t>福建</t>
  </si>
  <si>
    <t>璀璨星空</t>
  </si>
  <si>
    <t>高晓霞</t>
  </si>
  <si>
    <t>中拖号5</t>
  </si>
  <si>
    <t>胡</t>
  </si>
  <si>
    <t>跑路2</t>
  </si>
  <si>
    <t>陈贵</t>
  </si>
  <si>
    <t>福州</t>
  </si>
  <si>
    <t>柏树</t>
  </si>
  <si>
    <t>陈思思</t>
  </si>
  <si>
    <t>小杨顾问通知交流60</t>
  </si>
  <si>
    <t>老田</t>
  </si>
  <si>
    <t>小杨顾问通知交流61</t>
  </si>
  <si>
    <t>老司机老死机</t>
  </si>
  <si>
    <t>小杨顾问通知交流62</t>
  </si>
  <si>
    <t>一个美女</t>
  </si>
  <si>
    <t>小杨顾问通知交流63</t>
  </si>
  <si>
    <t>小杨顾问通知交流64</t>
  </si>
  <si>
    <t>小杨顾问通知交流65</t>
  </si>
  <si>
    <t>小杨顾问通知交流66</t>
  </si>
  <si>
    <t>小杨顾问通知交流67</t>
  </si>
  <si>
    <t>小杨顾问通知交流68</t>
  </si>
  <si>
    <t>小杨顾问通知交流69</t>
  </si>
  <si>
    <t>Bouns</t>
  </si>
  <si>
    <t>小杨顾问通知交流70</t>
  </si>
  <si>
    <t>飞鹤你真der</t>
  </si>
  <si>
    <t>小杨顾问通知交流71</t>
  </si>
  <si>
    <t>小韭菜聊投资</t>
  </si>
  <si>
    <t>小杨顾问通知交流72</t>
  </si>
  <si>
    <t>叶知秋888</t>
  </si>
  <si>
    <t>小杨顾问通知交流73</t>
  </si>
  <si>
    <t>牛倍</t>
  </si>
  <si>
    <t>小杨顾问通知交流74</t>
  </si>
  <si>
    <t>只打顺风局</t>
  </si>
  <si>
    <t>小杨顾问通知交流75</t>
  </si>
  <si>
    <t>祈梦淅</t>
  </si>
  <si>
    <t>小杨顾问通知交流76</t>
  </si>
  <si>
    <t>地平线无际</t>
  </si>
  <si>
    <t>小杨顾问通知交流77</t>
  </si>
  <si>
    <t>君莫笑</t>
  </si>
  <si>
    <t>小杨顾问通知交流78</t>
  </si>
  <si>
    <t>年入百万股息</t>
  </si>
  <si>
    <t>小杨顾问通知交流79</t>
  </si>
  <si>
    <t>永不看底牌</t>
  </si>
  <si>
    <t>小杨顾问通知交流80</t>
  </si>
  <si>
    <t>HN百合</t>
  </si>
  <si>
    <t>小杨顾问通知交流81</t>
  </si>
  <si>
    <t>天鹰</t>
  </si>
  <si>
    <t>小杨顾问通知交流82</t>
  </si>
  <si>
    <t>刘总大大</t>
  </si>
  <si>
    <t>小杨顾问通知交流83</t>
  </si>
  <si>
    <t>子非鱼</t>
  </si>
  <si>
    <t>小杨顾问通知交流84</t>
  </si>
  <si>
    <t>大A研究生</t>
  </si>
  <si>
    <t>小杨顾问通知交流85</t>
  </si>
  <si>
    <t>潜水专家</t>
  </si>
  <si>
    <t>小杨顾问通知交流86</t>
  </si>
  <si>
    <t>他乡二哥</t>
  </si>
  <si>
    <t>小杨顾问通知交流87</t>
  </si>
  <si>
    <t>尼古拉斯羊</t>
  </si>
  <si>
    <t>小杨顾问通知交流88</t>
  </si>
  <si>
    <t>到此</t>
  </si>
  <si>
    <t>麦子小姐</t>
  </si>
  <si>
    <t>小杨顾问通知交流89</t>
  </si>
  <si>
    <t>小杨顾问通知交流90</t>
  </si>
  <si>
    <t>小杨顾问通知交流91</t>
  </si>
  <si>
    <t>小杨顾问通知交流92</t>
  </si>
  <si>
    <t>小杨顾问通知交流93</t>
  </si>
  <si>
    <t>小杨顾问通知交流94</t>
  </si>
  <si>
    <t>小杨顾问通知交流95</t>
  </si>
  <si>
    <t>小杨顾问通知交流96</t>
  </si>
  <si>
    <t>小杨顾问通知交流97</t>
  </si>
  <si>
    <t>小杨顾问通知交流98</t>
  </si>
  <si>
    <t>小杨顾问通知交流99</t>
  </si>
  <si>
    <t>小杨顾问通知交流100</t>
  </si>
  <si>
    <t>充值</t>
  </si>
  <si>
    <t>提现</t>
  </si>
  <si>
    <t>充提差</t>
  </si>
  <si>
    <t>金流</t>
  </si>
  <si>
    <t>扣除资源费</t>
  </si>
  <si>
    <t>提成</t>
  </si>
  <si>
    <t>美金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</si>
</sst>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sz val="11.5"/>
      <color rgb="FF101423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4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"/>
  <sheetViews>
    <sheetView tabSelected="1" zoomScale="85" zoomScaleNormal="85" workbookViewId="0">
      <pane ySplit="1" topLeftCell="A2" activePane="bottomLeft" state="frozen"/>
      <selection/>
      <selection pane="bottomLeft" activeCell="E32" sqref="E32"/>
    </sheetView>
  </sheetViews>
  <sheetFormatPr defaultColWidth="9" defaultRowHeight="13.5"/>
  <cols>
    <col min="1" max="2" width="9" style="4"/>
    <col min="3" max="3" width="14.2583333333333" style="8" customWidth="1"/>
    <col min="4" max="4" width="18.5833333333333" style="8" customWidth="1"/>
    <col min="5" max="5" width="15.55" style="4" customWidth="1"/>
    <col min="6" max="7" width="9" style="4"/>
    <col min="8" max="8" width="20.7" style="4" customWidth="1"/>
    <col min="9" max="12" width="9" style="4"/>
    <col min="13" max="13" width="27.75" style="4" customWidth="1"/>
    <col min="14" max="14" width="26.6" style="4" customWidth="1"/>
    <col min="15" max="15" width="16.0166666666667" style="4" customWidth="1"/>
    <col min="16" max="16" width="16.025" style="4" customWidth="1"/>
    <col min="17" max="16384" width="9" style="4"/>
  </cols>
  <sheetData>
    <row r="1" s="3" customFormat="1" spans="1:17">
      <c r="C1" s="9" t="s">
        <v>0</v>
      </c>
      <c r="D1" s="9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="4" customFormat="1" spans="1:17">
      <c r="A2" s="3" t="s">
        <v>12</v>
      </c>
      <c r="B2" s="10" t="s">
        <v>13</v>
      </c>
      <c r="C2" s="11">
        <v>18629704862</v>
      </c>
      <c r="D2" s="8" t="s">
        <v>14</v>
      </c>
      <c r="E2" s="4">
        <v>1902563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12" t="s">
        <v>22</v>
      </c>
      <c r="N2" s="4" t="s">
        <v>23</v>
      </c>
    </row>
    <row r="3" s="4" customFormat="1" spans="1:17">
      <c r="A3" s="3"/>
      <c r="B3" s="10" t="s">
        <v>24</v>
      </c>
      <c r="C3" s="11">
        <v>13661601004</v>
      </c>
      <c r="D3" s="8" t="s">
        <v>25</v>
      </c>
      <c r="E3" s="4">
        <v>2645856</v>
      </c>
      <c r="F3" s="4" t="s">
        <v>15</v>
      </c>
      <c r="G3" s="4" t="s">
        <v>16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13" t="s">
        <v>31</v>
      </c>
      <c r="N3" s="4" t="s">
        <v>32</v>
      </c>
    </row>
    <row r="4" s="4" customFormat="1" spans="1:17">
      <c r="A4" s="3"/>
      <c r="B4" s="10" t="s">
        <v>33</v>
      </c>
      <c r="C4" s="14">
        <v>15200082360</v>
      </c>
      <c r="D4" s="15" t="s">
        <v>34</v>
      </c>
      <c r="E4" s="4">
        <v>562452</v>
      </c>
      <c r="F4" s="4" t="s">
        <v>15</v>
      </c>
      <c r="G4" s="4" t="s">
        <v>35</v>
      </c>
      <c r="H4" s="4" t="s">
        <v>36</v>
      </c>
      <c r="I4" s="4" t="s">
        <v>27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15"/>
    </row>
    <row r="5" s="4" customFormat="1" spans="1:17">
      <c r="A5" s="3"/>
      <c r="B5" s="4" t="s">
        <v>42</v>
      </c>
      <c r="C5" s="11">
        <v>13260449044</v>
      </c>
      <c r="D5" s="8" t="s">
        <v>43</v>
      </c>
      <c r="E5" s="4">
        <v>358546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</row>
    <row r="6" s="4" customFormat="1" spans="1:17">
      <c r="A6" s="3"/>
      <c r="B6" s="4" t="s">
        <v>53</v>
      </c>
      <c r="C6" s="11">
        <v>15048913292</v>
      </c>
      <c r="D6" s="8" t="s">
        <v>54</v>
      </c>
      <c r="E6" s="4">
        <v>11242</v>
      </c>
      <c r="F6" s="4" t="s">
        <v>44</v>
      </c>
      <c r="G6" s="4" t="s">
        <v>16</v>
      </c>
      <c r="H6" s="4" t="s">
        <v>55</v>
      </c>
      <c r="I6" s="4" t="s">
        <v>56</v>
      </c>
      <c r="J6" s="4" t="s">
        <v>57</v>
      </c>
      <c r="K6" s="4" t="s">
        <v>58</v>
      </c>
      <c r="L6" s="4" t="s">
        <v>59</v>
      </c>
      <c r="M6" s="4" t="s">
        <v>60</v>
      </c>
    </row>
    <row r="7" s="4" customFormat="1" spans="1:17">
      <c r="A7" s="3"/>
      <c r="B7" s="4" t="s">
        <v>61</v>
      </c>
      <c r="C7" s="11">
        <v>17299385443</v>
      </c>
      <c r="D7" s="8" t="s">
        <v>62</v>
      </c>
      <c r="E7" s="4">
        <v>25647</v>
      </c>
      <c r="F7" s="4" t="s">
        <v>44</v>
      </c>
      <c r="G7" s="4" t="s">
        <v>63</v>
      </c>
      <c r="H7" s="4" t="s">
        <v>64</v>
      </c>
      <c r="I7" s="4" t="s">
        <v>56</v>
      </c>
      <c r="J7" s="4" t="s">
        <v>65</v>
      </c>
      <c r="K7" s="4" t="s">
        <v>66</v>
      </c>
      <c r="L7" s="4" t="s">
        <v>67</v>
      </c>
      <c r="M7" s="4" t="s">
        <v>68</v>
      </c>
    </row>
    <row r="8" s="4" customFormat="1" spans="1:17">
      <c r="A8" s="3"/>
      <c r="B8" s="4" t="s">
        <v>69</v>
      </c>
      <c r="C8" s="11">
        <v>17334381265</v>
      </c>
      <c r="D8" s="8" t="s">
        <v>70</v>
      </c>
      <c r="E8" s="4">
        <v>9097</v>
      </c>
      <c r="F8" s="4" t="s">
        <v>44</v>
      </c>
      <c r="G8" s="4" t="s">
        <v>45</v>
      </c>
      <c r="H8" s="4" t="s">
        <v>71</v>
      </c>
      <c r="I8" s="4" t="s">
        <v>72</v>
      </c>
      <c r="J8" s="4" t="s">
        <v>73</v>
      </c>
      <c r="K8" s="4" t="s">
        <v>74</v>
      </c>
      <c r="L8" s="4" t="s">
        <v>75</v>
      </c>
      <c r="M8" s="4" t="s">
        <v>60</v>
      </c>
    </row>
    <row r="9" s="4" customFormat="1" spans="1:17">
      <c r="A9" s="3"/>
      <c r="B9" s="4" t="s">
        <v>76</v>
      </c>
      <c r="C9" s="11">
        <v>18282995698</v>
      </c>
      <c r="D9" s="8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</row>
    <row r="10" s="4" customFormat="1" ht="17" customHeight="1" spans="1:17">
      <c r="A10" s="3"/>
      <c r="B10" s="4" t="s">
        <v>86</v>
      </c>
      <c r="C10" s="11">
        <v>18851908114</v>
      </c>
      <c r="D10" s="8" t="s">
        <v>87</v>
      </c>
      <c r="G10" s="4" t="s">
        <v>16</v>
      </c>
      <c r="H10" s="4" t="s">
        <v>88</v>
      </c>
      <c r="I10" s="4" t="s">
        <v>80</v>
      </c>
      <c r="J10" s="4" t="s">
        <v>89</v>
      </c>
      <c r="K10" s="4" t="s">
        <v>90</v>
      </c>
      <c r="L10" s="4" t="s">
        <v>91</v>
      </c>
      <c r="M10" s="4" t="s">
        <v>92</v>
      </c>
    </row>
    <row r="11" s="5" customFormat="1" spans="1:17">
      <c r="B11" s="5" t="s">
        <v>93</v>
      </c>
      <c r="C11" s="16">
        <v>14555581662</v>
      </c>
      <c r="D11" s="8" t="s">
        <v>94</v>
      </c>
      <c r="F11" s="17" t="s">
        <v>95</v>
      </c>
      <c r="G11" s="5" t="s">
        <v>35</v>
      </c>
      <c r="H11" s="5" t="s">
        <v>96</v>
      </c>
      <c r="I11" s="5" t="s">
        <v>80</v>
      </c>
      <c r="J11" s="5" t="s">
        <v>97</v>
      </c>
      <c r="K11" s="5" t="s">
        <v>98</v>
      </c>
      <c r="L11" s="5" t="s">
        <v>30</v>
      </c>
      <c r="M11" s="5" t="s">
        <v>99</v>
      </c>
      <c r="O11" s="17"/>
      <c r="P11" s="4"/>
    </row>
    <row r="12" s="5" customFormat="1" spans="1:17">
      <c r="B12" s="5" t="s">
        <v>100</v>
      </c>
      <c r="C12" s="16">
        <v>18903199289</v>
      </c>
      <c r="D12" s="8" t="s">
        <v>101</v>
      </c>
      <c r="E12" s="5">
        <v>13040889897</v>
      </c>
      <c r="F12" s="17" t="s">
        <v>95</v>
      </c>
      <c r="G12" s="5" t="s">
        <v>35</v>
      </c>
      <c r="H12" s="5" t="s">
        <v>102</v>
      </c>
      <c r="I12" s="5" t="s">
        <v>103</v>
      </c>
      <c r="J12" s="5" t="s">
        <v>104</v>
      </c>
      <c r="K12" s="5" t="s">
        <v>105</v>
      </c>
      <c r="L12" s="5" t="s">
        <v>106</v>
      </c>
      <c r="M12" s="5" t="s">
        <v>107</v>
      </c>
      <c r="N12" s="5" t="s">
        <v>108</v>
      </c>
      <c r="O12" s="18" t="s">
        <v>109</v>
      </c>
      <c r="P12" s="19"/>
      <c r="Q12" s="20"/>
    </row>
    <row r="13" s="4" customFormat="1" spans="1:17">
      <c r="A13" s="3"/>
      <c r="B13" s="4" t="s">
        <v>110</v>
      </c>
      <c r="C13" s="11">
        <v>18598167684</v>
      </c>
      <c r="D13" s="8" t="s">
        <v>111</v>
      </c>
      <c r="G13" s="4" t="s">
        <v>63</v>
      </c>
      <c r="H13" s="4" t="s">
        <v>112</v>
      </c>
      <c r="I13" s="4" t="s">
        <v>80</v>
      </c>
      <c r="J13" s="4" t="s">
        <v>113</v>
      </c>
      <c r="K13" s="4" t="s">
        <v>114</v>
      </c>
      <c r="L13" s="4" t="s">
        <v>115</v>
      </c>
      <c r="M13" s="4" t="s">
        <v>116</v>
      </c>
    </row>
    <row r="14" s="6" customFormat="1" spans="1:17">
      <c r="A14" s="6" t="s">
        <v>117</v>
      </c>
      <c r="C14" s="21"/>
      <c r="D14" s="22" t="s">
        <v>1</v>
      </c>
      <c r="G14" s="6" t="s">
        <v>4</v>
      </c>
      <c r="I14" s="6" t="s">
        <v>118</v>
      </c>
      <c r="J14" s="6" t="s">
        <v>7</v>
      </c>
      <c r="K14" s="6" t="s">
        <v>8</v>
      </c>
      <c r="M14" s="6" t="s">
        <v>10</v>
      </c>
      <c r="N14" s="6" t="s">
        <v>11</v>
      </c>
    </row>
    <row r="15" s="7" customFormat="1" spans="1:17">
      <c r="B15" s="7" t="s">
        <v>119</v>
      </c>
      <c r="C15" s="16">
        <v>13112631151</v>
      </c>
      <c r="D15" s="8" t="s">
        <v>120</v>
      </c>
      <c r="E15" s="7">
        <v>6425205</v>
      </c>
      <c r="G15" s="7" t="s">
        <v>121</v>
      </c>
      <c r="H15" s="7" t="s">
        <v>122</v>
      </c>
      <c r="I15" s="7" t="s">
        <v>27</v>
      </c>
      <c r="J15" s="7" t="s">
        <v>123</v>
      </c>
      <c r="K15" s="7" t="s">
        <v>124</v>
      </c>
      <c r="O15" s="17"/>
      <c r="P15" s="4"/>
    </row>
    <row r="16" s="7" customFormat="1" spans="1:17">
      <c r="B16" s="7" t="s">
        <v>125</v>
      </c>
      <c r="C16" s="16">
        <v>13762871499</v>
      </c>
      <c r="D16" s="8" t="s">
        <v>126</v>
      </c>
      <c r="E16" s="7">
        <v>1520462</v>
      </c>
      <c r="G16" s="7" t="s">
        <v>121</v>
      </c>
      <c r="H16" s="7" t="s">
        <v>127</v>
      </c>
      <c r="I16" s="7" t="s">
        <v>27</v>
      </c>
      <c r="J16" s="7" t="s">
        <v>128</v>
      </c>
      <c r="K16" s="7" t="s">
        <v>58</v>
      </c>
      <c r="O16" s="17"/>
      <c r="P16" s="4"/>
    </row>
    <row r="17" s="7" customFormat="1" spans="1:16">
      <c r="B17" s="7" t="s">
        <v>129</v>
      </c>
      <c r="C17" s="16">
        <v>17695125066</v>
      </c>
      <c r="D17" s="8" t="s">
        <v>130</v>
      </c>
      <c r="E17" s="7">
        <v>342044</v>
      </c>
      <c r="G17" s="7" t="s">
        <v>131</v>
      </c>
      <c r="H17" s="7" t="s">
        <v>132</v>
      </c>
      <c r="I17" s="7" t="s">
        <v>27</v>
      </c>
      <c r="J17" s="7" t="s">
        <v>133</v>
      </c>
      <c r="K17" s="7" t="s">
        <v>134</v>
      </c>
      <c r="O17" s="23"/>
      <c r="P17" s="4"/>
    </row>
    <row r="18" s="7" customFormat="1" spans="1:16">
      <c r="B18" s="7" t="s">
        <v>135</v>
      </c>
      <c r="C18" s="16">
        <v>18373157514</v>
      </c>
      <c r="D18" s="8" t="s">
        <v>136</v>
      </c>
      <c r="E18" s="7">
        <v>456976</v>
      </c>
      <c r="G18" s="7" t="s">
        <v>121</v>
      </c>
      <c r="H18" s="7" t="s">
        <v>137</v>
      </c>
      <c r="I18" s="7" t="s">
        <v>47</v>
      </c>
      <c r="J18" s="7" t="s">
        <v>138</v>
      </c>
      <c r="K18" s="7" t="s">
        <v>29</v>
      </c>
      <c r="O18" s="17"/>
      <c r="P18" s="4"/>
    </row>
    <row r="19" s="7" customFormat="1" spans="1:16">
      <c r="B19" s="7" t="s">
        <v>139</v>
      </c>
      <c r="C19" s="16">
        <v>13943798846</v>
      </c>
      <c r="D19" s="8" t="s">
        <v>140</v>
      </c>
      <c r="E19" s="7">
        <v>648124</v>
      </c>
      <c r="G19" s="7" t="s">
        <v>131</v>
      </c>
      <c r="H19" s="7" t="s">
        <v>141</v>
      </c>
      <c r="I19" s="7" t="s">
        <v>47</v>
      </c>
      <c r="J19" s="7" t="s">
        <v>142</v>
      </c>
      <c r="K19" s="7" t="s">
        <v>143</v>
      </c>
      <c r="O19" s="17"/>
      <c r="P19" s="4"/>
    </row>
    <row r="20" s="4" customFormat="1" spans="1:16">
      <c r="A20" s="3"/>
      <c r="B20" s="4" t="s">
        <v>42</v>
      </c>
      <c r="C20" s="16">
        <v>18430502186</v>
      </c>
      <c r="D20" s="8" t="s">
        <v>144</v>
      </c>
      <c r="G20" s="4" t="s">
        <v>131</v>
      </c>
      <c r="H20" s="24" t="s">
        <v>145</v>
      </c>
      <c r="I20" s="4" t="s">
        <v>56</v>
      </c>
      <c r="J20" s="4" t="s">
        <v>146</v>
      </c>
      <c r="K20" s="4" t="s">
        <v>147</v>
      </c>
      <c r="O20" s="17"/>
    </row>
    <row r="21" s="4" customFormat="1" spans="1:16">
      <c r="A21" s="3"/>
      <c r="B21" s="4" t="s">
        <v>53</v>
      </c>
      <c r="C21" s="16">
        <v>13971292025</v>
      </c>
      <c r="D21" s="8" t="s">
        <v>148</v>
      </c>
      <c r="E21" s="25"/>
      <c r="G21" s="4" t="s">
        <v>131</v>
      </c>
      <c r="I21" s="4" t="s">
        <v>47</v>
      </c>
      <c r="J21" s="25" t="s">
        <v>148</v>
      </c>
      <c r="K21" s="4" t="s">
        <v>149</v>
      </c>
      <c r="O21" s="26"/>
    </row>
    <row r="22" s="4" customFormat="1" spans="1:16">
      <c r="A22" s="3"/>
      <c r="B22" s="4" t="s">
        <v>61</v>
      </c>
      <c r="C22" s="16">
        <v>15997616790</v>
      </c>
      <c r="D22" s="8" t="s">
        <v>150</v>
      </c>
      <c r="G22" s="4" t="s">
        <v>131</v>
      </c>
      <c r="I22" s="4" t="s">
        <v>56</v>
      </c>
      <c r="J22" s="4" t="s">
        <v>151</v>
      </c>
      <c r="K22" s="4" t="s">
        <v>152</v>
      </c>
      <c r="O22" s="17"/>
    </row>
    <row r="23" s="4" customFormat="1" spans="1:16">
      <c r="A23" s="3"/>
      <c r="B23" s="4" t="s">
        <v>69</v>
      </c>
      <c r="C23" s="11">
        <v>18555774333</v>
      </c>
      <c r="D23" s="8" t="s">
        <v>153</v>
      </c>
      <c r="G23" s="4" t="s">
        <v>121</v>
      </c>
      <c r="I23" s="4" t="s">
        <v>47</v>
      </c>
      <c r="J23" s="4" t="s">
        <v>154</v>
      </c>
      <c r="K23" s="4" t="s">
        <v>74</v>
      </c>
    </row>
    <row r="24" s="4" customFormat="1" spans="1:16">
      <c r="A24" s="3"/>
      <c r="B24" s="4" t="s">
        <v>155</v>
      </c>
      <c r="C24" s="11">
        <v>18237339382</v>
      </c>
      <c r="D24" s="8" t="s">
        <v>156</v>
      </c>
      <c r="G24" s="4" t="s">
        <v>131</v>
      </c>
      <c r="H24" s="24" t="s">
        <v>157</v>
      </c>
      <c r="I24" s="4" t="s">
        <v>56</v>
      </c>
      <c r="J24" s="4" t="s">
        <v>158</v>
      </c>
      <c r="K24" s="4" t="s">
        <v>159</v>
      </c>
    </row>
    <row r="25" s="4" customFormat="1" spans="1:16">
      <c r="A25" s="3"/>
      <c r="B25" s="4" t="s">
        <v>76</v>
      </c>
      <c r="C25" s="11">
        <v>13956521197</v>
      </c>
      <c r="D25" s="8" t="s">
        <v>160</v>
      </c>
      <c r="E25"/>
      <c r="F25" s="27"/>
      <c r="G25" s="27"/>
      <c r="H25" s="8"/>
    </row>
    <row r="26" s="4" customFormat="1" spans="1:16">
      <c r="A26" s="3"/>
      <c r="B26" s="4" t="s">
        <v>86</v>
      </c>
      <c r="C26" s="11">
        <v>18133784524</v>
      </c>
      <c r="D26" s="8" t="s">
        <v>161</v>
      </c>
      <c r="H26" s="4" t="s">
        <v>162</v>
      </c>
      <c r="J26" s="28"/>
      <c r="K26" s="4">
        <v>60</v>
      </c>
      <c r="L26" s="4">
        <v>188</v>
      </c>
    </row>
    <row r="27" s="4" customFormat="1" spans="1:16">
      <c r="A27" s="3"/>
      <c r="B27" s="4" t="s">
        <v>93</v>
      </c>
      <c r="C27" s="11">
        <v>13867063451</v>
      </c>
      <c r="D27" s="8" t="s">
        <v>163</v>
      </c>
      <c r="H27" s="4" t="s">
        <v>164</v>
      </c>
      <c r="J27" s="28"/>
      <c r="K27" s="4">
        <v>61</v>
      </c>
      <c r="L27" s="4">
        <v>168</v>
      </c>
    </row>
    <row r="28" s="4" customFormat="1" spans="1:16">
      <c r="A28" s="3"/>
      <c r="B28" s="4" t="s">
        <v>100</v>
      </c>
      <c r="C28" s="11">
        <v>13258302257</v>
      </c>
      <c r="D28" s="8" t="s">
        <v>165</v>
      </c>
      <c r="H28" s="4" t="s">
        <v>166</v>
      </c>
      <c r="J28" s="28"/>
      <c r="K28" s="4">
        <v>62</v>
      </c>
      <c r="L28" s="4">
        <v>188</v>
      </c>
    </row>
    <row r="29" s="4" customFormat="1" spans="1:16">
      <c r="A29" s="3"/>
      <c r="B29" s="4" t="s">
        <v>110</v>
      </c>
      <c r="C29" s="11">
        <v>13152344926</v>
      </c>
      <c r="D29" s="8" t="s">
        <v>167</v>
      </c>
      <c r="H29" s="4" t="s">
        <v>168</v>
      </c>
      <c r="J29" s="28"/>
      <c r="K29" s="4">
        <v>63</v>
      </c>
      <c r="L29" s="4">
        <v>188</v>
      </c>
    </row>
    <row r="30" spans="1:16">
      <c r="C30" s="11">
        <v>13152344927</v>
      </c>
      <c r="D30" s="8" t="s">
        <v>167</v>
      </c>
      <c r="H30" s="4" t="s">
        <v>169</v>
      </c>
      <c r="J30" s="28"/>
      <c r="K30" s="4">
        <v>64</v>
      </c>
    </row>
    <row r="31" spans="1:16">
      <c r="C31" s="11">
        <v>13152344928</v>
      </c>
      <c r="D31" s="8" t="s">
        <v>167</v>
      </c>
      <c r="H31" s="4" t="s">
        <v>170</v>
      </c>
      <c r="J31" s="28"/>
      <c r="K31" s="4">
        <v>65</v>
      </c>
    </row>
    <row r="32" spans="1:16">
      <c r="C32" s="11">
        <v>13152344929</v>
      </c>
      <c r="D32" s="8" t="s">
        <v>167</v>
      </c>
      <c r="H32" s="4" t="s">
        <v>171</v>
      </c>
      <c r="J32" s="28"/>
      <c r="K32" s="4">
        <v>66</v>
      </c>
    </row>
    <row r="33" spans="2:15">
      <c r="C33" s="11">
        <v>13152344930</v>
      </c>
      <c r="D33" s="8" t="s">
        <v>167</v>
      </c>
      <c r="H33" s="4" t="s">
        <v>172</v>
      </c>
      <c r="J33" s="28"/>
      <c r="K33" s="4">
        <v>67</v>
      </c>
    </row>
    <row r="34" spans="2:15">
      <c r="B34" s="29"/>
      <c r="C34" s="11">
        <v>13152344931</v>
      </c>
      <c r="D34" s="8" t="s">
        <v>167</v>
      </c>
      <c r="H34" s="4" t="s">
        <v>173</v>
      </c>
      <c r="J34" s="28"/>
      <c r="K34" s="4">
        <v>68</v>
      </c>
    </row>
    <row r="35" spans="2:15">
      <c r="B35" s="29"/>
      <c r="C35" s="11">
        <v>13152344965</v>
      </c>
      <c r="D35" s="8" t="s">
        <v>167</v>
      </c>
      <c r="H35" s="4" t="s">
        <v>174</v>
      </c>
      <c r="J35" s="28"/>
      <c r="K35" s="4">
        <v>69</v>
      </c>
    </row>
    <row r="36" spans="2:15">
      <c r="B36" s="29"/>
      <c r="C36" s="11">
        <v>13152344966</v>
      </c>
      <c r="D36" s="8" t="s">
        <v>175</v>
      </c>
      <c r="H36" s="4" t="s">
        <v>176</v>
      </c>
      <c r="J36" s="28"/>
      <c r="K36" s="4">
        <v>70</v>
      </c>
    </row>
    <row r="37" spans="2:15">
      <c r="B37" s="29"/>
      <c r="C37" s="11">
        <v>13152344967</v>
      </c>
      <c r="D37" s="8" t="s">
        <v>177</v>
      </c>
      <c r="H37" s="4" t="s">
        <v>178</v>
      </c>
      <c r="J37" s="28"/>
      <c r="K37" s="4">
        <v>71</v>
      </c>
    </row>
    <row r="38" spans="2:15">
      <c r="C38" s="11">
        <v>13152344968</v>
      </c>
      <c r="D38" s="8" t="s">
        <v>179</v>
      </c>
      <c r="H38" s="4" t="s">
        <v>180</v>
      </c>
      <c r="J38" s="28"/>
      <c r="K38" s="4">
        <v>72</v>
      </c>
    </row>
    <row r="39" spans="2:15">
      <c r="C39" s="11">
        <v>13152344969</v>
      </c>
      <c r="D39" s="8" t="s">
        <v>181</v>
      </c>
      <c r="H39" s="4" t="s">
        <v>182</v>
      </c>
      <c r="J39" s="28"/>
      <c r="K39" s="4">
        <v>73</v>
      </c>
    </row>
    <row r="40" spans="2:15">
      <c r="C40" s="11">
        <v>13152344970</v>
      </c>
      <c r="D40" s="8" t="s">
        <v>183</v>
      </c>
      <c r="H40" s="4" t="s">
        <v>184</v>
      </c>
      <c r="J40" s="28"/>
      <c r="K40" s="4">
        <v>74</v>
      </c>
    </row>
    <row r="41" spans="2:15">
      <c r="C41" s="11">
        <v>13152344971</v>
      </c>
      <c r="D41" s="8" t="s">
        <v>185</v>
      </c>
      <c r="H41" s="4" t="s">
        <v>186</v>
      </c>
      <c r="J41" s="28"/>
      <c r="K41" s="4">
        <v>75</v>
      </c>
    </row>
    <row r="42" spans="2:15">
      <c r="C42" s="11">
        <v>13152344972</v>
      </c>
      <c r="D42" s="8" t="s">
        <v>187</v>
      </c>
      <c r="H42" s="4" t="s">
        <v>188</v>
      </c>
      <c r="J42" s="28"/>
      <c r="K42" s="4">
        <v>76</v>
      </c>
    </row>
    <row r="43" spans="2:15">
      <c r="C43" s="11">
        <v>13152344973</v>
      </c>
      <c r="D43" s="8" t="s">
        <v>189</v>
      </c>
      <c r="H43" s="4" t="s">
        <v>190</v>
      </c>
      <c r="J43" s="28"/>
      <c r="K43" s="4">
        <v>77</v>
      </c>
      <c r="L43" s="4">
        <v>168</v>
      </c>
    </row>
    <row r="44" spans="2:15">
      <c r="C44" s="11">
        <v>13152344974</v>
      </c>
      <c r="D44" s="8" t="s">
        <v>191</v>
      </c>
      <c r="H44" s="4" t="s">
        <v>192</v>
      </c>
      <c r="J44" s="28"/>
      <c r="K44" s="4">
        <v>78</v>
      </c>
    </row>
    <row r="45" spans="2:15">
      <c r="C45" s="11">
        <v>13152344975</v>
      </c>
      <c r="D45" s="8" t="s">
        <v>193</v>
      </c>
      <c r="H45" s="4" t="s">
        <v>194</v>
      </c>
      <c r="J45" s="28"/>
      <c r="K45" s="4">
        <v>79</v>
      </c>
      <c r="L45" s="4">
        <v>168</v>
      </c>
      <c r="O45" s="30"/>
    </row>
    <row r="46" spans="2:15">
      <c r="C46" s="11">
        <v>13152344976</v>
      </c>
      <c r="D46" s="8" t="s">
        <v>195</v>
      </c>
      <c r="H46" s="4" t="s">
        <v>196</v>
      </c>
      <c r="J46" s="28"/>
      <c r="K46" s="4">
        <v>80</v>
      </c>
    </row>
    <row r="47" spans="2:15">
      <c r="C47" s="11">
        <v>13152344977</v>
      </c>
      <c r="D47" s="8" t="s">
        <v>197</v>
      </c>
      <c r="H47" s="4" t="s">
        <v>198</v>
      </c>
      <c r="J47" s="28"/>
      <c r="K47" s="4">
        <v>81</v>
      </c>
    </row>
    <row r="48" spans="2:15">
      <c r="C48" s="11">
        <v>13152344978</v>
      </c>
      <c r="D48" s="8" t="s">
        <v>199</v>
      </c>
      <c r="H48" s="4" t="s">
        <v>200</v>
      </c>
      <c r="J48" s="28"/>
      <c r="K48" s="4">
        <v>82</v>
      </c>
    </row>
    <row r="49" spans="1:16">
      <c r="C49" s="11">
        <v>13152344979</v>
      </c>
      <c r="D49" s="8" t="s">
        <v>201</v>
      </c>
      <c r="H49" s="4" t="s">
        <v>202</v>
      </c>
      <c r="J49" s="28"/>
      <c r="K49" s="4">
        <v>83</v>
      </c>
    </row>
    <row r="50" spans="1:16">
      <c r="C50" s="11">
        <v>13152344980</v>
      </c>
      <c r="D50" s="8" t="s">
        <v>203</v>
      </c>
      <c r="H50" s="4" t="s">
        <v>204</v>
      </c>
      <c r="J50" s="28"/>
      <c r="K50" s="4">
        <v>84</v>
      </c>
      <c r="O50" s="15"/>
    </row>
    <row r="51" spans="1:16">
      <c r="C51" s="11">
        <v>13152344981</v>
      </c>
      <c r="D51" s="8" t="s">
        <v>205</v>
      </c>
      <c r="H51" s="4" t="s">
        <v>206</v>
      </c>
      <c r="J51" s="28"/>
      <c r="K51" s="4">
        <v>85</v>
      </c>
    </row>
    <row r="52" spans="1:16">
      <c r="C52" s="11">
        <v>13152344982</v>
      </c>
      <c r="D52" s="8" t="s">
        <v>207</v>
      </c>
      <c r="H52" s="4" t="s">
        <v>208</v>
      </c>
      <c r="J52" s="28"/>
      <c r="K52" s="4">
        <v>86</v>
      </c>
    </row>
    <row r="53" spans="1:16">
      <c r="C53" s="11">
        <v>13152344983</v>
      </c>
      <c r="D53" s="8" t="s">
        <v>209</v>
      </c>
      <c r="H53" s="4" t="s">
        <v>210</v>
      </c>
      <c r="J53" s="28"/>
      <c r="K53" s="4">
        <v>87</v>
      </c>
    </row>
    <row r="54" spans="1:16">
      <c r="C54" s="11">
        <v>13152344984</v>
      </c>
      <c r="D54" s="8" t="s">
        <v>211</v>
      </c>
      <c r="H54" s="4" t="s">
        <v>212</v>
      </c>
      <c r="J54" s="28"/>
      <c r="K54" s="4">
        <v>88</v>
      </c>
      <c r="L54" s="4" t="s">
        <v>213</v>
      </c>
    </row>
    <row r="55" spans="1:16">
      <c r="C55" s="11">
        <v>13152344985</v>
      </c>
      <c r="D55" s="8" t="s">
        <v>214</v>
      </c>
      <c r="H55" s="4" t="s">
        <v>215</v>
      </c>
      <c r="J55" s="28"/>
      <c r="K55" s="4">
        <v>89</v>
      </c>
    </row>
    <row r="56" spans="1:16">
      <c r="A56" s="31"/>
      <c r="B56" s="31"/>
      <c r="C56" s="11">
        <v>13152344986</v>
      </c>
      <c r="D56" s="8" t="s">
        <v>214</v>
      </c>
      <c r="E56" s="31"/>
      <c r="F56" s="31"/>
      <c r="G56" s="31"/>
      <c r="H56" s="4" t="s">
        <v>216</v>
      </c>
      <c r="J56" s="28"/>
      <c r="K56" s="4">
        <v>90</v>
      </c>
      <c r="O56" s="31"/>
      <c r="P56" s="31"/>
    </row>
    <row r="57" spans="1:16">
      <c r="A57" s="31"/>
      <c r="B57" s="31"/>
      <c r="C57" s="11">
        <v>13152344987</v>
      </c>
      <c r="D57" s="8" t="s">
        <v>214</v>
      </c>
      <c r="E57" s="31"/>
      <c r="F57" s="31"/>
      <c r="G57" s="31"/>
      <c r="H57" s="4" t="s">
        <v>217</v>
      </c>
      <c r="J57" s="28"/>
      <c r="K57" s="4">
        <v>91</v>
      </c>
      <c r="O57" s="31"/>
      <c r="P57" s="31"/>
    </row>
    <row r="58" spans="1:16">
      <c r="A58" s="31"/>
      <c r="B58" s="31"/>
      <c r="C58" s="11">
        <v>13152344988</v>
      </c>
      <c r="D58" s="8" t="s">
        <v>214</v>
      </c>
      <c r="E58" s="31"/>
      <c r="F58" s="31"/>
      <c r="G58" s="31"/>
      <c r="H58" s="4" t="s">
        <v>218</v>
      </c>
      <c r="J58" s="28"/>
      <c r="K58" s="4">
        <v>92</v>
      </c>
      <c r="O58" s="31"/>
      <c r="P58" s="31"/>
    </row>
    <row r="59" spans="1:16">
      <c r="A59" s="31"/>
      <c r="B59" s="31"/>
      <c r="C59" s="11">
        <v>13152344989</v>
      </c>
      <c r="D59" s="8" t="s">
        <v>214</v>
      </c>
      <c r="E59" s="31"/>
      <c r="F59" s="31"/>
      <c r="G59" s="31"/>
      <c r="H59" s="4" t="s">
        <v>219</v>
      </c>
      <c r="J59" s="28"/>
      <c r="K59" s="4">
        <v>93</v>
      </c>
      <c r="O59" s="31"/>
      <c r="P59" s="31"/>
    </row>
    <row r="60" spans="1:16">
      <c r="A60" s="31"/>
      <c r="B60" s="31"/>
      <c r="C60" s="11">
        <v>13152344990</v>
      </c>
      <c r="D60" s="8" t="s">
        <v>214</v>
      </c>
      <c r="E60" s="31"/>
      <c r="F60" s="31"/>
      <c r="G60" s="31"/>
      <c r="H60" s="4" t="s">
        <v>220</v>
      </c>
      <c r="J60" s="28"/>
      <c r="K60" s="4">
        <v>94</v>
      </c>
      <c r="O60" s="31"/>
      <c r="P60" s="31"/>
    </row>
    <row r="61" spans="1:16">
      <c r="A61" s="31"/>
      <c r="B61" s="31"/>
      <c r="C61" s="11">
        <v>13152344991</v>
      </c>
      <c r="D61" s="8" t="s">
        <v>214</v>
      </c>
      <c r="E61" s="31"/>
      <c r="F61" s="31"/>
      <c r="G61" s="31"/>
      <c r="H61" s="4" t="s">
        <v>221</v>
      </c>
      <c r="J61" s="28"/>
      <c r="K61" s="4">
        <v>95</v>
      </c>
      <c r="O61" s="31"/>
      <c r="P61" s="31"/>
    </row>
    <row r="62" spans="1:16">
      <c r="A62" s="31"/>
      <c r="B62" s="31"/>
      <c r="C62" s="11">
        <v>13152344992</v>
      </c>
      <c r="D62" s="8" t="s">
        <v>214</v>
      </c>
      <c r="E62" s="31"/>
      <c r="F62" s="31"/>
      <c r="G62" s="31"/>
      <c r="H62" s="4" t="s">
        <v>222</v>
      </c>
      <c r="J62" s="28"/>
      <c r="K62" s="4">
        <v>96</v>
      </c>
      <c r="O62" s="31"/>
      <c r="P62" s="31"/>
    </row>
    <row r="63" spans="1:16">
      <c r="A63" s="31"/>
      <c r="B63" s="31"/>
      <c r="C63" s="11">
        <v>13152344993</v>
      </c>
      <c r="D63" s="8" t="s">
        <v>214</v>
      </c>
      <c r="E63" s="31"/>
      <c r="F63" s="31"/>
      <c r="G63" s="31"/>
      <c r="H63" s="4" t="s">
        <v>223</v>
      </c>
      <c r="J63" s="28"/>
      <c r="K63" s="4">
        <v>97</v>
      </c>
      <c r="O63" s="31"/>
      <c r="P63" s="31"/>
    </row>
    <row r="64" spans="1:16">
      <c r="A64" s="31"/>
      <c r="B64" s="31"/>
      <c r="C64" s="11">
        <v>13152344994</v>
      </c>
      <c r="D64" s="8" t="s">
        <v>214</v>
      </c>
      <c r="E64" s="31"/>
      <c r="F64" s="31"/>
      <c r="G64" s="31"/>
      <c r="H64" s="4" t="s">
        <v>224</v>
      </c>
      <c r="J64" s="28"/>
      <c r="K64" s="4">
        <v>98</v>
      </c>
      <c r="O64" s="31"/>
      <c r="P64" s="31"/>
    </row>
    <row r="65" spans="1:16">
      <c r="A65" s="31"/>
      <c r="B65" s="31"/>
      <c r="C65" s="11">
        <v>13152344995</v>
      </c>
      <c r="D65" s="8" t="s">
        <v>214</v>
      </c>
      <c r="E65" s="31"/>
      <c r="F65" s="31"/>
      <c r="G65" s="31"/>
      <c r="H65" s="4" t="s">
        <v>225</v>
      </c>
      <c r="J65" s="28"/>
      <c r="K65" s="4">
        <v>99</v>
      </c>
      <c r="O65" s="31"/>
      <c r="P65" s="31"/>
    </row>
    <row r="66" spans="1:16">
      <c r="A66" s="31"/>
      <c r="B66" s="31"/>
      <c r="C66" s="32"/>
      <c r="D66" s="32"/>
      <c r="E66" s="31"/>
      <c r="F66" s="33"/>
      <c r="G66" s="31"/>
      <c r="H66" s="4" t="s">
        <v>226</v>
      </c>
      <c r="J66" s="28"/>
      <c r="K66" s="4">
        <v>100</v>
      </c>
      <c r="O66" s="31"/>
      <c r="P66" s="31"/>
    </row>
    <row r="67" spans="1:16">
      <c r="A67" s="31"/>
      <c r="B67" s="31"/>
      <c r="C67" s="32"/>
      <c r="D67" s="32"/>
      <c r="E67" s="31"/>
      <c r="F67" s="31"/>
      <c r="G67" s="31"/>
      <c r="J67" s="28"/>
      <c r="O67" s="31"/>
      <c r="P67" s="31"/>
    </row>
    <row r="68" spans="1:16">
      <c r="A68" s="31"/>
      <c r="B68" s="31"/>
      <c r="C68" s="32"/>
      <c r="D68" s="32"/>
      <c r="E68" s="31"/>
      <c r="F68" s="31"/>
      <c r="G68" s="31"/>
      <c r="J68" s="28"/>
      <c r="O68" s="31"/>
      <c r="P68" s="31"/>
    </row>
    <row r="69" spans="1:16">
      <c r="A69" s="31"/>
      <c r="B69" s="31"/>
      <c r="C69" s="32"/>
      <c r="D69" s="32"/>
      <c r="E69" s="31"/>
      <c r="F69" s="31"/>
      <c r="G69" s="31"/>
      <c r="J69" s="28"/>
      <c r="O69" s="31"/>
      <c r="P69" s="31"/>
    </row>
    <row r="70" spans="1:16">
      <c r="A70" s="31"/>
      <c r="B70" s="31"/>
      <c r="C70" s="32"/>
      <c r="D70" s="32"/>
      <c r="E70" s="31"/>
      <c r="F70" s="31"/>
      <c r="G70" s="31"/>
      <c r="J70" s="28"/>
      <c r="O70" s="31"/>
      <c r="P70" s="31"/>
    </row>
    <row r="71" spans="1:16">
      <c r="A71" s="31"/>
      <c r="B71" s="31"/>
      <c r="C71" s="32"/>
      <c r="D71" s="32"/>
      <c r="E71" s="31"/>
      <c r="F71" s="31"/>
      <c r="G71" s="31"/>
      <c r="J71" s="28"/>
      <c r="O71" s="31"/>
      <c r="P71" s="31"/>
    </row>
    <row r="72" spans="1:16">
      <c r="J72" s="28"/>
    </row>
    <row r="73" spans="1:16">
      <c r="J73" s="28"/>
    </row>
    <row r="74" spans="1:16">
      <c r="J74" s="28"/>
    </row>
    <row r="75" spans="1:16">
      <c r="J75" s="28"/>
    </row>
    <row r="76" spans="1:16">
      <c r="J76" s="28"/>
    </row>
    <row r="77" spans="1:16">
      <c r="J77" s="28"/>
    </row>
    <row r="78" spans="1:16">
      <c r="J78" s="28"/>
    </row>
    <row r="79" spans="1:16">
      <c r="J79" s="28"/>
    </row>
    <row r="80" spans="1:16">
      <c r="J80" s="28"/>
    </row>
    <row r="81" spans="10:10">
      <c r="J81" s="28"/>
    </row>
    <row r="82" spans="10:10">
      <c r="J82" s="28"/>
    </row>
    <row r="83" spans="10:10">
      <c r="J83" s="28"/>
    </row>
    <row r="84" spans="10:10">
      <c r="J84" s="28"/>
    </row>
    <row r="85" spans="10:10">
      <c r="J85" s="28"/>
    </row>
    <row r="86" spans="10:10">
      <c r="J86" s="28"/>
    </row>
    <row r="87" spans="10:10">
      <c r="J87" s="28"/>
    </row>
    <row r="88" spans="10:10">
      <c r="J88" s="28"/>
    </row>
    <row r="89" spans="10:10">
      <c r="J89" s="28"/>
    </row>
  </sheetData>
  <mergeCells count="3">
    <mergeCell ref="O12:Q12"/>
    <mergeCell ref="A2:A13"/>
    <mergeCell ref="A14:A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0"/>
  <sheetViews>
    <sheetView workbookViewId="0">
      <selection activeCell="D37" sqref="D37"/>
    </sheetView>
  </sheetViews>
  <sheetFormatPr defaultColWidth="9" defaultRowHeight="13.5" outlineLevelCol="5"/>
  <cols>
    <col min="4" max="4" width="13.875" customWidth="1"/>
    <col min="5" max="5" width="13.75"/>
  </cols>
  <sheetData>
    <row r="2" spans="3:6">
      <c r="C2" s="1"/>
      <c r="D2" s="1"/>
      <c r="E2" s="1"/>
      <c r="F2" s="1"/>
    </row>
    <row r="3" spans="3:6">
      <c r="C3" s="1"/>
      <c r="D3" s="2" t="s">
        <v>227</v>
      </c>
      <c r="E3" s="2">
        <v>2000000</v>
      </c>
      <c r="F3" s="1"/>
    </row>
    <row r="4" spans="3:6">
      <c r="C4" s="1"/>
      <c r="D4" s="2" t="s">
        <v>228</v>
      </c>
      <c r="E4" s="2">
        <v>2545</v>
      </c>
      <c r="F4" s="1"/>
    </row>
    <row r="5" spans="3:6">
      <c r="C5" s="1"/>
      <c r="D5" s="2" t="s">
        <v>229</v>
      </c>
      <c r="E5" s="2">
        <f>E3-E4</f>
        <v>1997455</v>
      </c>
      <c r="F5" s="1"/>
    </row>
    <row r="6" spans="3:6">
      <c r="C6" s="1"/>
      <c r="D6" s="2" t="s">
        <v>230</v>
      </c>
      <c r="E6" s="2">
        <f>E5*0.7</f>
        <v>1398218.5</v>
      </c>
      <c r="F6" s="1"/>
    </row>
    <row r="7" spans="3:6">
      <c r="C7" s="1"/>
      <c r="D7" s="2" t="s">
        <v>231</v>
      </c>
      <c r="E7" s="2">
        <f>E6-150000</f>
        <v>1248218.5</v>
      </c>
      <c r="F7" s="1"/>
    </row>
    <row r="8" spans="3:6">
      <c r="C8" s="1"/>
      <c r="D8" s="2" t="s">
        <v>232</v>
      </c>
      <c r="E8" s="2">
        <f>E7*0.15</f>
        <v>187232.775</v>
      </c>
      <c r="F8" s="1"/>
    </row>
    <row r="9" spans="3:6">
      <c r="C9" s="1"/>
      <c r="D9" s="2" t="s">
        <v>233</v>
      </c>
      <c r="E9" s="2">
        <f>E8/7.6</f>
        <v>24635.8914473684</v>
      </c>
      <c r="F9" s="1"/>
    </row>
    <row r="10" spans="3:6">
      <c r="C10" s="1"/>
      <c r="D10" s="1"/>
      <c r="E10" s="1"/>
      <c r="F10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7" sqref="D3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</cp:lastModifiedBy>
  <dcterms:created xsi:type="dcterms:W3CDTF">2023-05-20T03:15:00Z</dcterms:created>
  <dcterms:modified xsi:type="dcterms:W3CDTF">2025-12-04T13:12:30Z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424A83653A414DEB967FBB291E56340B_13</vt:lpwstr>
  </property>
  <property fmtid="{D5CDD505-2E9C-101B-9397-08002B2CF9AE}" pid="4" name="KSOReadingLayout">
    <vt:bool>true</vt:bool>
  </property>
</Properties>
</file>